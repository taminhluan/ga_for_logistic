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D4BF2892-C303-4D54-8868-3F01368098B0}" xr6:coauthVersionLast="47" xr6:coauthVersionMax="47" xr10:uidLastSave="{00000000-0000-0000-0000-000000000000}"/>
  <bookViews>
    <workbookView xWindow="-110" yWindow="-110" windowWidth="19420" windowHeight="10300" xr2:uid="{CA76D9E8-EFFD-43F9-BF22-AB619ECA300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" l="1"/>
  <c r="G5" i="1"/>
  <c r="G8" i="1" a="1"/>
  <c r="G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<sst xmlns="http://schemas.openxmlformats.org/spreadsheetml/2006/main" count="245" uniqueCount="117">
  <si>
    <t>STT</t>
  </si>
  <si>
    <t>CỬA HÀNG</t>
  </si>
  <si>
    <t>THỜI GIAN MỞ CỬA</t>
  </si>
  <si>
    <t>THỜI GIAN ĐÓNG CỬA</t>
  </si>
  <si>
    <t>CPS1</t>
  </si>
  <si>
    <t>59 Quang Trung, P.10, Q. Gò Vấp</t>
  </si>
  <si>
    <t>Tạm đóng cửa - Giao hàng online</t>
  </si>
  <si>
    <t>10.828077500753302, 106.67731915819547</t>
  </si>
  <si>
    <t>source location</t>
  </si>
  <si>
    <t>CPS33</t>
  </si>
  <si>
    <t>CPS2</t>
  </si>
  <si>
    <t>18 Võ Văn Ngân, P. Trường Thọ, Q. Thủ Đức</t>
  </si>
  <si>
    <t>10.851707134696383, 106.75619863659232</t>
  </si>
  <si>
    <t>destination location</t>
  </si>
  <si>
    <t>CPS3</t>
  </si>
  <si>
    <t>125 Lê Văn Việt, P. Hiệp Phú, Q.9</t>
  </si>
  <si>
    <t>8h00</t>
  </si>
  <si>
    <t>21h00</t>
  </si>
  <si>
    <t>10.847494340486332, 106.77841578149072</t>
  </si>
  <si>
    <t>CPS4</t>
  </si>
  <si>
    <t>672-674 Âu Cơ, P.14, Q. Tân Bình</t>
  </si>
  <si>
    <t>18h00</t>
  </si>
  <si>
    <t>10.78732613244321, 106.64153940477775</t>
  </si>
  <si>
    <t>source coordinate</t>
  </si>
  <si>
    <t>CPS5</t>
  </si>
  <si>
    <t>161 Nguyễn Sơn, P. Phú Thạnh, Q. Tân Phú</t>
  </si>
  <si>
    <t>9h00</t>
  </si>
  <si>
    <t>10.786693777191646, 106.64175398148447</t>
  </si>
  <si>
    <t>destination coordinate</t>
  </si>
  <si>
    <t>CPS6</t>
  </si>
  <si>
    <t>4/39 Quang Trung, Thới Tam Thôn, Huyện Hóc Môn</t>
  </si>
  <si>
    <t>10.888948316617359, 106.60160060478842</t>
  </si>
  <si>
    <t xml:space="preserve">key </t>
  </si>
  <si>
    <t>AiulT2QwK4iMlUlpJEk4gjEoH8RVA8XPkiRGDnwPXUGOSCL20Ii0gSD9kAN5DbxU</t>
  </si>
  <si>
    <t>CPS7</t>
  </si>
  <si>
    <t>93 Nguyễn Ảnh Thủ, Q.12</t>
  </si>
  <si>
    <t>10.870207331008762, 106.61383698752086</t>
  </si>
  <si>
    <t>distance</t>
  </si>
  <si>
    <t>CPS8</t>
  </si>
  <si>
    <t>229 Nguyễn Thị Tú, P. Bình Hưng Hoà, Q. Bình Tân</t>
  </si>
  <si>
    <t>10.81560373640971, 106.59485852863615</t>
  </si>
  <si>
    <t>CPS9</t>
  </si>
  <si>
    <t>472 - 474 Lê Trọng Tấn, P. Tây Thạnh, Q. Tân Phú</t>
  </si>
  <si>
    <t>10.809383717674, 106.61571686851053</t>
  </si>
  <si>
    <t>CPS10</t>
  </si>
  <si>
    <t>114 Phan Đăng Lưu, P. 3, Q. Phú Nhuận</t>
  </si>
  <si>
    <t>10.802916749327405, 106.68396897379404</t>
  </si>
  <si>
    <t>CPS11</t>
  </si>
  <si>
    <t>139 Trần Não, Ấp Bình Khánh 3, Phường Bình An, Quận 2</t>
  </si>
  <si>
    <t>10.792396235968518, 106.73069814532488</t>
  </si>
  <si>
    <t>CPS12</t>
  </si>
  <si>
    <t>55B Trần Quang Khải, P. Tân Định, Q. 1</t>
  </si>
  <si>
    <t>10.793451663752792, 106.69390114546886</t>
  </si>
  <si>
    <t>CPS13</t>
  </si>
  <si>
    <t>536 Xô Viết Nghệ Tĩnh, P. 25, Q. Bình Thạnh</t>
  </si>
  <si>
    <t>10.810408645654585, 106.71226446081418</t>
  </si>
  <si>
    <t>CPS14</t>
  </si>
  <si>
    <t>377-379 Điện Biên Phủ, P. 25, Q. Bình Thạnh</t>
  </si>
  <si>
    <t>20h00</t>
  </si>
  <si>
    <t>10.802385466021557, 106.7123315602809</t>
  </si>
  <si>
    <t>CPS15</t>
  </si>
  <si>
    <t>241-243, Đỗ Xuân Hợp, Phước Long B, Quận 9</t>
  </si>
  <si>
    <t>10.825475317807419, 106.76950435287759</t>
  </si>
  <si>
    <t>CPS16</t>
  </si>
  <si>
    <t>253 Nguyễn An Ninh, Dĩ An, Bình Dương</t>
  </si>
  <si>
    <t>10.908346031368545, 106.76889985903051</t>
  </si>
  <si>
    <t>CPS17</t>
  </si>
  <si>
    <t>5 Nguyễn Kiệm, P. 3, Q. Gò Vấp</t>
  </si>
  <si>
    <t>10.81522155464787, 106.67867113449074</t>
  </si>
  <si>
    <t>CPS18</t>
  </si>
  <si>
    <t>134 Nguyễn Thái Học, P. Phạm Ngũ Lão, Q.1, TP HCM</t>
  </si>
  <si>
    <t>10.769674099620902, 106.69498324517585</t>
  </si>
  <si>
    <t>CPS19</t>
  </si>
  <si>
    <t>177 Khánh Hội, P. 3, Q. 4</t>
  </si>
  <si>
    <t>10.757972462087857, 106.7002024375273</t>
  </si>
  <si>
    <t>CPS20</t>
  </si>
  <si>
    <t>248 Nguyễn Thị Thập, P. Tân Quy, Q. 7</t>
  </si>
  <si>
    <t>10.7393720892547, 106.71539950683815</t>
  </si>
  <si>
    <t>CPS21</t>
  </si>
  <si>
    <t>310 Huỳnh Tấn Phát, P. Tân Thuận Tây, Q. 7</t>
  </si>
  <si>
    <t>10.7427829003789, 106.72990656821315</t>
  </si>
  <si>
    <t>CPS22</t>
  </si>
  <si>
    <t>888 Tỉnh Lộ 10, Phường Bình Trị Đông A, Quận Bình Tân</t>
  </si>
  <si>
    <t>10.76187657138243, 106.60591273380342</t>
  </si>
  <si>
    <t>CPS23</t>
  </si>
  <si>
    <t>1075B Hậu Giang, P. 11, Q. 6</t>
  </si>
  <si>
    <t>10.74556658090716, 106.62429889890075</t>
  </si>
  <si>
    <t>CPS24</t>
  </si>
  <si>
    <t>386 Hương Lộ 2, phường Bình Trị Đông, quận Bình Tân</t>
  </si>
  <si>
    <t>10.77369836172523, 106.62100252457469</t>
  </si>
  <si>
    <t>CPS25</t>
  </si>
  <si>
    <t>4B Cộng Hoà, P. 4, Q. Tân Bình</t>
  </si>
  <si>
    <t>10.800817315605336, 106.66136013175877</t>
  </si>
  <si>
    <t>CPS26</t>
  </si>
  <si>
    <t>359 Cộng Hòa, Phường 13, Quận Tân Bình</t>
  </si>
  <si>
    <t>10.802227013931253, 106.64231274894821</t>
  </si>
  <si>
    <t>CPS27</t>
  </si>
  <si>
    <t>288 Đường 3/2, P. 12, Q. 10</t>
  </si>
  <si>
    <t>10.77119066707697, 106.67189633752861</t>
  </si>
  <si>
    <t>CPS28</t>
  </si>
  <si>
    <t>363 Võ Văn Tần, P. 5, Q. 3</t>
  </si>
  <si>
    <t>10.772017876227615, 106.68515372218496</t>
  </si>
  <si>
    <t>CPS29</t>
  </si>
  <si>
    <t>157-159 Nguyễn Thị Minh Khai, P. Phạm Ngũ Lão, Q. 1</t>
  </si>
  <si>
    <t>10.7711912484442, 106.68687166821591</t>
  </si>
  <si>
    <t>CPS30</t>
  </si>
  <si>
    <t>525A Quang Trung, P.10, Q. Gò Vấp</t>
  </si>
  <si>
    <t>10.834949263457826, 106.66591515287662</t>
  </si>
  <si>
    <t>CPS31</t>
  </si>
  <si>
    <t>457 Lê Đại Hành, P. 11, Quận 11</t>
  </si>
  <si>
    <t>10.768719333668686, 106.65284522959033</t>
  </si>
  <si>
    <t>CPS32</t>
  </si>
  <si>
    <t>148 Trường Chinh, P12, Quận Tân Bình</t>
  </si>
  <si>
    <t>10.79583753852123, 106.64973720684372</t>
  </si>
  <si>
    <t>956 Âu Cơ, P.14, Quận Tân Bình</t>
  </si>
  <si>
    <t>10.797624655262897, 106.63800584281614</t>
  </si>
  <si>
    <t>DISTANCE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</si>
</sst>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charset val="163"/>
      <scheme val="minor"/>
    </font>
    <font>
      <b/>
      <sz val="6"/>
      <color rgb="FF3D6611"/>
      <name val="Arial"/>
      <family val="2"/>
    </font>
    <font>
      <sz val="6"/>
      <color rgb="FF44444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444444"/>
      <name val="Arial"/>
      <family val="2"/>
    </font>
    <font>
      <b/>
      <sz val="6"/>
      <color rgb="FF444444"/>
      <name val="Arial"/>
      <family val="2"/>
    </font>
    <font>
      <b/>
      <sz val="6"/>
      <color rgb="FF444444"/>
      <name val="Arial"/>
      <family val="2"/>
      <charset val="163"/>
    </font>
    <font>
      <b/>
      <sz val="11"/>
      <color theme="5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FF0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left"/>
    </xf>
    <xf numFmtId="0" fontId="3" fillId="3" borderId="3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horizontal="left" vertical="top" wrapText="1"/>
    </xf>
    <xf numFmtId="0" fontId="3" fillId="3" borderId="0" xfId="0" applyFont="1" applyFill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0" borderId="3" xfId="0" applyFont="1" applyBorder="1"/>
    <xf numFmtId="0" fontId="0" fillId="0" borderId="3" xfId="0" applyBorder="1"/>
    <xf numFmtId="0" fontId="4" fillId="4" borderId="3" xfId="0" applyFont="1" applyFill="1" applyBorder="1"/>
    <xf numFmtId="0" fontId="3" fillId="4" borderId="3" xfId="0" applyFont="1" applyFill="1" applyBorder="1" applyAlignment="1">
      <alignment horizontal="center" vertical="top" wrapText="1"/>
    </xf>
    <xf numFmtId="0" fontId="7" fillId="3" borderId="1" xfId="0" applyFont="1" applyFill="1" applyBorder="1" applyAlignment="1">
      <alignment horizontal="center" vertical="top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1" fillId="0" borderId="0" xfId="0" applyFont="1"/>
    <xf numFmtId="0" fontId="8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39230-2109-4044-8D24-F3E0B0993246}">
  <sheetPr codeName="Sheet1"/>
  <dimension ref="A1:AP35"/>
  <sheetViews>
    <sheetView tabSelected="1" topLeftCell="G1" zoomScale="55" zoomScaleNormal="55" workbookViewId="0">
      <selection activeCell="X19" sqref="X19"/>
    </sheetView>
  </sheetViews>
  <sheetFormatPr defaultRowHeight="13" customHeight="1" x14ac:dyDescent="0.35"/>
  <cols>
    <col min="1" max="1" width="4.1796875" bestFit="1" customWidth="1"/>
    <col min="2" max="2" width="29.6328125" bestFit="1" customWidth="1"/>
    <col min="3" max="3" width="13.90625" customWidth="1"/>
    <col min="4" max="4" width="16.6328125" customWidth="1"/>
    <col min="5" max="5" width="35.08984375" customWidth="1"/>
    <col min="6" max="6" width="16.81640625" customWidth="1"/>
    <col min="7" max="7" width="70.1796875" customWidth="1"/>
    <col min="9" max="9" width="6.6328125" style="22" customWidth="1"/>
    <col min="10" max="42" width="6.6328125" customWidth="1"/>
  </cols>
  <sheetData>
    <row r="1" spans="1:42" ht="13" customHeight="1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2"/>
      <c r="I1" s="23" t="s">
        <v>116</v>
      </c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</row>
    <row r="2" spans="1:42" ht="13" customHeight="1" thickBot="1" x14ac:dyDescent="0.4">
      <c r="A2" s="3" t="s">
        <v>4</v>
      </c>
      <c r="B2" s="3" t="s">
        <v>5</v>
      </c>
      <c r="C2" s="4" t="s">
        <v>6</v>
      </c>
      <c r="D2" s="4" t="s">
        <v>6</v>
      </c>
      <c r="E2" s="5" t="s">
        <v>7</v>
      </c>
      <c r="F2" s="6" t="s">
        <v>8</v>
      </c>
      <c r="G2" s="7" t="s">
        <v>9</v>
      </c>
      <c r="J2" s="21" t="s">
        <v>4</v>
      </c>
      <c r="K2" s="21" t="s">
        <v>10</v>
      </c>
      <c r="L2" s="21" t="s">
        <v>14</v>
      </c>
      <c r="M2" s="21" t="s">
        <v>19</v>
      </c>
      <c r="N2" s="21" t="s">
        <v>24</v>
      </c>
      <c r="O2" s="21" t="s">
        <v>29</v>
      </c>
      <c r="P2" s="21" t="s">
        <v>34</v>
      </c>
      <c r="Q2" s="21" t="s">
        <v>38</v>
      </c>
      <c r="R2" s="21" t="s">
        <v>41</v>
      </c>
      <c r="S2" s="21" t="s">
        <v>44</v>
      </c>
      <c r="T2" s="21" t="s">
        <v>47</v>
      </c>
      <c r="U2" s="21" t="s">
        <v>50</v>
      </c>
      <c r="V2" s="21" t="s">
        <v>53</v>
      </c>
      <c r="W2" s="21" t="s">
        <v>56</v>
      </c>
      <c r="X2" s="21" t="s">
        <v>60</v>
      </c>
      <c r="Y2" s="21" t="s">
        <v>63</v>
      </c>
      <c r="Z2" s="21" t="s">
        <v>66</v>
      </c>
      <c r="AA2" s="21" t="s">
        <v>69</v>
      </c>
      <c r="AB2" s="21" t="s">
        <v>72</v>
      </c>
      <c r="AC2" s="21" t="s">
        <v>75</v>
      </c>
      <c r="AD2" s="21" t="s">
        <v>78</v>
      </c>
      <c r="AE2" s="21" t="s">
        <v>81</v>
      </c>
      <c r="AF2" s="21" t="s">
        <v>84</v>
      </c>
      <c r="AG2" s="21" t="s">
        <v>87</v>
      </c>
      <c r="AH2" s="21" t="s">
        <v>90</v>
      </c>
      <c r="AI2" s="21" t="s">
        <v>93</v>
      </c>
      <c r="AJ2" s="21" t="s">
        <v>96</v>
      </c>
      <c r="AK2" s="21" t="s">
        <v>99</v>
      </c>
      <c r="AL2" s="21" t="s">
        <v>102</v>
      </c>
      <c r="AM2" s="21" t="s">
        <v>105</v>
      </c>
      <c r="AN2" s="21" t="s">
        <v>108</v>
      </c>
      <c r="AO2" s="21" t="s">
        <v>111</v>
      </c>
      <c r="AP2" s="21" t="s">
        <v>9</v>
      </c>
    </row>
    <row r="3" spans="1:42" ht="13" customHeight="1" thickBot="1" x14ac:dyDescent="0.4">
      <c r="A3" s="3" t="s">
        <v>10</v>
      </c>
      <c r="B3" s="3" t="s">
        <v>11</v>
      </c>
      <c r="C3" s="3" t="s">
        <v>6</v>
      </c>
      <c r="D3" s="4" t="s">
        <v>6</v>
      </c>
      <c r="E3" s="5" t="s">
        <v>12</v>
      </c>
      <c r="F3" s="8" t="s">
        <v>13</v>
      </c>
      <c r="G3" s="7" t="s">
        <v>9</v>
      </c>
      <c r="I3" s="21" t="s">
        <v>4</v>
      </c>
      <c r="J3">
        <v>0</v>
      </c>
      <c r="K3">
        <v>22</v>
      </c>
      <c r="L3">
        <v>28</v>
      </c>
      <c r="M3">
        <v>22</v>
      </c>
      <c r="N3">
        <v>22</v>
      </c>
      <c r="O3">
        <v>26</v>
      </c>
      <c r="P3">
        <v>22</v>
      </c>
      <c r="Q3">
        <v>27</v>
      </c>
      <c r="R3">
        <v>24</v>
      </c>
      <c r="S3">
        <v>11</v>
      </c>
      <c r="T3">
        <v>26</v>
      </c>
      <c r="U3">
        <v>18</v>
      </c>
      <c r="V3">
        <v>15</v>
      </c>
      <c r="W3">
        <v>20</v>
      </c>
      <c r="X3">
        <v>29</v>
      </c>
      <c r="Y3">
        <v>33</v>
      </c>
      <c r="Z3">
        <v>4</v>
      </c>
      <c r="AA3">
        <v>27</v>
      </c>
      <c r="AB3">
        <v>32</v>
      </c>
      <c r="AC3">
        <v>41</v>
      </c>
      <c r="AD3">
        <v>41</v>
      </c>
      <c r="AE3">
        <v>36</v>
      </c>
      <c r="AF3">
        <v>34</v>
      </c>
      <c r="AG3">
        <v>32</v>
      </c>
      <c r="AH3">
        <v>11</v>
      </c>
      <c r="AI3">
        <v>16</v>
      </c>
      <c r="AJ3">
        <v>24</v>
      </c>
      <c r="AK3">
        <v>23</v>
      </c>
      <c r="AL3">
        <v>25</v>
      </c>
      <c r="AM3">
        <v>5</v>
      </c>
      <c r="AN3">
        <v>25</v>
      </c>
      <c r="AO3">
        <v>16</v>
      </c>
      <c r="AP3">
        <v>20</v>
      </c>
    </row>
    <row r="4" spans="1:42" ht="13" customHeight="1" thickBot="1" x14ac:dyDescent="0.4">
      <c r="A4" s="3" t="s">
        <v>14</v>
      </c>
      <c r="B4" s="3" t="s">
        <v>15</v>
      </c>
      <c r="C4" s="4" t="s">
        <v>16</v>
      </c>
      <c r="D4" s="4" t="s">
        <v>17</v>
      </c>
      <c r="E4" s="9" t="s">
        <v>18</v>
      </c>
      <c r="I4" s="21" t="s">
        <v>10</v>
      </c>
      <c r="J4">
        <v>20</v>
      </c>
      <c r="K4">
        <v>0</v>
      </c>
      <c r="L4">
        <v>9</v>
      </c>
      <c r="M4">
        <v>33</v>
      </c>
      <c r="N4">
        <v>33</v>
      </c>
      <c r="O4">
        <v>39</v>
      </c>
      <c r="P4">
        <v>34</v>
      </c>
      <c r="Q4">
        <v>37</v>
      </c>
      <c r="R4">
        <v>35</v>
      </c>
      <c r="S4">
        <v>21</v>
      </c>
      <c r="T4">
        <v>20</v>
      </c>
      <c r="U4">
        <v>23</v>
      </c>
      <c r="V4">
        <v>14</v>
      </c>
      <c r="W4">
        <v>19</v>
      </c>
      <c r="X4">
        <v>13</v>
      </c>
      <c r="Y4">
        <v>20</v>
      </c>
      <c r="Z4">
        <v>17</v>
      </c>
      <c r="AA4">
        <v>30</v>
      </c>
      <c r="AB4">
        <v>31</v>
      </c>
      <c r="AC4">
        <v>35</v>
      </c>
      <c r="AD4">
        <v>32</v>
      </c>
      <c r="AE4">
        <v>47</v>
      </c>
      <c r="AF4">
        <v>45</v>
      </c>
      <c r="AG4">
        <v>43</v>
      </c>
      <c r="AH4">
        <v>22</v>
      </c>
      <c r="AI4">
        <v>27</v>
      </c>
      <c r="AJ4">
        <v>32</v>
      </c>
      <c r="AK4">
        <v>30</v>
      </c>
      <c r="AL4">
        <v>31</v>
      </c>
      <c r="AM4">
        <v>22</v>
      </c>
      <c r="AN4">
        <v>36</v>
      </c>
      <c r="AO4">
        <v>27</v>
      </c>
      <c r="AP4">
        <v>31</v>
      </c>
    </row>
    <row r="5" spans="1:42" ht="13" customHeight="1" thickBot="1" x14ac:dyDescent="0.4">
      <c r="A5" s="3" t="s">
        <v>19</v>
      </c>
      <c r="B5" s="3" t="s">
        <v>20</v>
      </c>
      <c r="C5" s="4" t="s">
        <v>16</v>
      </c>
      <c r="D5" s="4" t="s">
        <v>21</v>
      </c>
      <c r="E5" s="9" t="s">
        <v>22</v>
      </c>
      <c r="F5" s="6" t="s">
        <v>23</v>
      </c>
      <c r="G5" s="10" t="str">
        <f>IF(G2=VLOOKUP(G2,$A$2:$A$34,1,FALSE),VLOOKUP(G2,$A$2:$E$34,5,FALSE),0)</f>
        <v>10.797624655262897, 106.63800584281614</v>
      </c>
      <c r="I5" s="21" t="s">
        <v>14</v>
      </c>
      <c r="J5">
        <v>27</v>
      </c>
      <c r="K5">
        <v>8</v>
      </c>
      <c r="L5">
        <v>0</v>
      </c>
      <c r="M5">
        <v>40</v>
      </c>
      <c r="N5">
        <v>40</v>
      </c>
      <c r="O5">
        <v>42</v>
      </c>
      <c r="P5">
        <v>38</v>
      </c>
      <c r="Q5">
        <v>40</v>
      </c>
      <c r="R5">
        <v>42</v>
      </c>
      <c r="S5">
        <v>25</v>
      </c>
      <c r="T5">
        <v>17</v>
      </c>
      <c r="U5">
        <v>21</v>
      </c>
      <c r="V5">
        <v>19</v>
      </c>
      <c r="W5">
        <v>18</v>
      </c>
      <c r="X5">
        <v>10</v>
      </c>
      <c r="Y5">
        <v>23</v>
      </c>
      <c r="Z5">
        <v>24</v>
      </c>
      <c r="AA5">
        <v>27</v>
      </c>
      <c r="AB5">
        <v>28</v>
      </c>
      <c r="AC5">
        <v>32</v>
      </c>
      <c r="AD5">
        <v>29</v>
      </c>
      <c r="AE5">
        <v>50</v>
      </c>
      <c r="AF5">
        <v>42</v>
      </c>
      <c r="AG5">
        <v>49</v>
      </c>
      <c r="AH5">
        <v>29</v>
      </c>
      <c r="AI5">
        <v>34</v>
      </c>
      <c r="AJ5">
        <v>30</v>
      </c>
      <c r="AK5">
        <v>29</v>
      </c>
      <c r="AL5">
        <v>30</v>
      </c>
      <c r="AM5">
        <v>29</v>
      </c>
      <c r="AN5">
        <v>37</v>
      </c>
      <c r="AO5">
        <v>34</v>
      </c>
      <c r="AP5">
        <v>39</v>
      </c>
    </row>
    <row r="6" spans="1:42" ht="13" customHeight="1" thickBot="1" x14ac:dyDescent="0.4">
      <c r="A6" s="3" t="s">
        <v>24</v>
      </c>
      <c r="B6" s="3" t="s">
        <v>25</v>
      </c>
      <c r="C6" s="4" t="s">
        <v>26</v>
      </c>
      <c r="D6" s="4" t="s">
        <v>21</v>
      </c>
      <c r="E6" s="5" t="s">
        <v>27</v>
      </c>
      <c r="F6" s="8" t="s">
        <v>28</v>
      </c>
      <c r="G6" s="10" t="str">
        <f>IF(G3=VLOOKUP(G3,$A$2:$A$34,1,FALSE),VLOOKUP(G3,$A$2:$E$34,5,FALSE),0)</f>
        <v>10.797624655262897, 106.63800584281614</v>
      </c>
      <c r="I6" s="21" t="s">
        <v>19</v>
      </c>
      <c r="J6">
        <v>24</v>
      </c>
      <c r="K6">
        <v>35</v>
      </c>
      <c r="L6">
        <v>41</v>
      </c>
      <c r="M6">
        <v>0</v>
      </c>
      <c r="N6">
        <v>1</v>
      </c>
      <c r="O6">
        <v>28</v>
      </c>
      <c r="P6">
        <v>25</v>
      </c>
      <c r="Q6">
        <v>19</v>
      </c>
      <c r="R6">
        <v>13</v>
      </c>
      <c r="S6">
        <v>17</v>
      </c>
      <c r="T6">
        <v>32</v>
      </c>
      <c r="U6">
        <v>22</v>
      </c>
      <c r="V6">
        <v>27</v>
      </c>
      <c r="W6">
        <v>26</v>
      </c>
      <c r="X6">
        <v>39</v>
      </c>
      <c r="Y6">
        <v>49</v>
      </c>
      <c r="Z6">
        <v>20</v>
      </c>
      <c r="AA6">
        <v>24</v>
      </c>
      <c r="AB6">
        <v>29</v>
      </c>
      <c r="AC6">
        <v>36</v>
      </c>
      <c r="AD6">
        <v>39</v>
      </c>
      <c r="AE6">
        <v>15</v>
      </c>
      <c r="AF6">
        <v>15</v>
      </c>
      <c r="AG6">
        <v>10</v>
      </c>
      <c r="AH6">
        <v>13</v>
      </c>
      <c r="AI6">
        <v>7</v>
      </c>
      <c r="AJ6">
        <v>17</v>
      </c>
      <c r="AK6">
        <v>20</v>
      </c>
      <c r="AL6">
        <v>22</v>
      </c>
      <c r="AM6">
        <v>22</v>
      </c>
      <c r="AN6">
        <v>9</v>
      </c>
      <c r="AO6">
        <v>8</v>
      </c>
      <c r="AP6">
        <v>3</v>
      </c>
    </row>
    <row r="7" spans="1:42" ht="13" customHeight="1" thickBot="1" x14ac:dyDescent="0.4">
      <c r="A7" s="3" t="s">
        <v>29</v>
      </c>
      <c r="B7" s="11" t="s">
        <v>30</v>
      </c>
      <c r="C7" s="12" t="s">
        <v>26</v>
      </c>
      <c r="D7" s="12" t="s">
        <v>17</v>
      </c>
      <c r="E7" s="9" t="s">
        <v>31</v>
      </c>
      <c r="F7" s="13" t="s">
        <v>32</v>
      </c>
      <c r="G7" s="14" t="s">
        <v>33</v>
      </c>
      <c r="I7" s="21" t="s">
        <v>24</v>
      </c>
      <c r="J7">
        <v>24</v>
      </c>
      <c r="K7">
        <v>36</v>
      </c>
      <c r="L7">
        <v>41</v>
      </c>
      <c r="M7">
        <v>1</v>
      </c>
      <c r="N7">
        <v>0</v>
      </c>
      <c r="O7">
        <v>28</v>
      </c>
      <c r="P7">
        <v>25</v>
      </c>
      <c r="Q7">
        <v>19</v>
      </c>
      <c r="R7">
        <v>13</v>
      </c>
      <c r="S7">
        <v>18</v>
      </c>
      <c r="T7">
        <v>32</v>
      </c>
      <c r="U7">
        <v>23</v>
      </c>
      <c r="V7">
        <v>27</v>
      </c>
      <c r="W7">
        <v>26</v>
      </c>
      <c r="X7">
        <v>40</v>
      </c>
      <c r="Y7">
        <v>50</v>
      </c>
      <c r="Z7">
        <v>20</v>
      </c>
      <c r="AA7">
        <v>24</v>
      </c>
      <c r="AB7">
        <v>29</v>
      </c>
      <c r="AC7">
        <v>36</v>
      </c>
      <c r="AD7">
        <v>39</v>
      </c>
      <c r="AE7">
        <v>15</v>
      </c>
      <c r="AF7">
        <v>15</v>
      </c>
      <c r="AG7">
        <v>11</v>
      </c>
      <c r="AH7">
        <v>14</v>
      </c>
      <c r="AI7">
        <v>7</v>
      </c>
      <c r="AJ7">
        <v>17</v>
      </c>
      <c r="AK7">
        <v>20</v>
      </c>
      <c r="AL7">
        <v>22</v>
      </c>
      <c r="AM7">
        <v>23</v>
      </c>
      <c r="AN7">
        <v>9</v>
      </c>
      <c r="AO7">
        <v>8</v>
      </c>
      <c r="AP7">
        <v>4</v>
      </c>
    </row>
    <row r="8" spans="1:42" ht="13" customHeight="1" thickBot="1" x14ac:dyDescent="0.4">
      <c r="A8" s="3" t="s">
        <v>34</v>
      </c>
      <c r="B8" s="3" t="s">
        <v>35</v>
      </c>
      <c r="C8" s="4" t="s">
        <v>6</v>
      </c>
      <c r="D8" s="4" t="s">
        <v>6</v>
      </c>
      <c r="E8" s="9" t="s">
        <v>36</v>
      </c>
      <c r="F8" s="15" t="s">
        <v>37</v>
      </c>
      <c r="G8" s="16" cm="1">
        <f t="array" ref="G8">GetTraveltime(G5,G6,G7)</f>
        <v>0</v>
      </c>
      <c r="I8" s="21" t="s">
        <v>29</v>
      </c>
      <c r="J8">
        <v>26</v>
      </c>
      <c r="K8">
        <v>42</v>
      </c>
      <c r="L8">
        <v>47</v>
      </c>
      <c r="M8">
        <v>26</v>
      </c>
      <c r="N8">
        <v>26</v>
      </c>
      <c r="O8">
        <v>0</v>
      </c>
      <c r="P8">
        <v>7</v>
      </c>
      <c r="Q8">
        <v>20</v>
      </c>
      <c r="R8">
        <v>22</v>
      </c>
      <c r="S8">
        <v>32</v>
      </c>
      <c r="T8">
        <v>47</v>
      </c>
      <c r="U8">
        <v>37</v>
      </c>
      <c r="V8">
        <v>42</v>
      </c>
      <c r="W8">
        <v>40</v>
      </c>
      <c r="X8">
        <v>52</v>
      </c>
      <c r="Y8">
        <v>45</v>
      </c>
      <c r="Z8">
        <v>29</v>
      </c>
      <c r="AA8">
        <v>42</v>
      </c>
      <c r="AB8">
        <v>47</v>
      </c>
      <c r="AC8">
        <v>53</v>
      </c>
      <c r="AD8">
        <v>53</v>
      </c>
      <c r="AE8">
        <v>31</v>
      </c>
      <c r="AF8">
        <v>39</v>
      </c>
      <c r="AG8">
        <v>33</v>
      </c>
      <c r="AH8">
        <v>28</v>
      </c>
      <c r="AI8">
        <v>21</v>
      </c>
      <c r="AJ8">
        <v>38</v>
      </c>
      <c r="AK8">
        <v>38</v>
      </c>
      <c r="AL8">
        <v>40</v>
      </c>
      <c r="AM8">
        <v>22</v>
      </c>
      <c r="AN8">
        <v>34</v>
      </c>
      <c r="AO8">
        <v>26</v>
      </c>
      <c r="AP8">
        <v>22</v>
      </c>
    </row>
    <row r="9" spans="1:42" ht="13" customHeight="1" thickBot="1" x14ac:dyDescent="0.4">
      <c r="A9" s="3" t="s">
        <v>38</v>
      </c>
      <c r="B9" s="3" t="s">
        <v>39</v>
      </c>
      <c r="C9" s="4" t="s">
        <v>16</v>
      </c>
      <c r="D9" s="4" t="s">
        <v>17</v>
      </c>
      <c r="E9" s="9" t="s">
        <v>40</v>
      </c>
      <c r="I9" s="21" t="s">
        <v>34</v>
      </c>
      <c r="J9">
        <v>22</v>
      </c>
      <c r="K9">
        <v>37</v>
      </c>
      <c r="L9">
        <v>43</v>
      </c>
      <c r="M9">
        <v>23</v>
      </c>
      <c r="N9">
        <v>23</v>
      </c>
      <c r="O9">
        <v>6</v>
      </c>
      <c r="P9">
        <v>0</v>
      </c>
      <c r="Q9">
        <v>17</v>
      </c>
      <c r="R9">
        <v>19</v>
      </c>
      <c r="S9">
        <v>29</v>
      </c>
      <c r="T9">
        <v>44</v>
      </c>
      <c r="U9">
        <v>34</v>
      </c>
      <c r="V9">
        <v>37</v>
      </c>
      <c r="W9">
        <v>37</v>
      </c>
      <c r="X9">
        <v>47</v>
      </c>
      <c r="Y9">
        <v>41</v>
      </c>
      <c r="Z9">
        <v>24</v>
      </c>
      <c r="AA9">
        <v>39</v>
      </c>
      <c r="AB9">
        <v>44</v>
      </c>
      <c r="AC9">
        <v>50</v>
      </c>
      <c r="AD9">
        <v>50</v>
      </c>
      <c r="AE9">
        <v>28</v>
      </c>
      <c r="AF9">
        <v>36</v>
      </c>
      <c r="AG9">
        <v>30</v>
      </c>
      <c r="AH9">
        <v>25</v>
      </c>
      <c r="AI9">
        <v>18</v>
      </c>
      <c r="AJ9">
        <v>35</v>
      </c>
      <c r="AK9">
        <v>35</v>
      </c>
      <c r="AL9">
        <v>37</v>
      </c>
      <c r="AM9">
        <v>18</v>
      </c>
      <c r="AN9">
        <v>31</v>
      </c>
      <c r="AO9">
        <v>23</v>
      </c>
      <c r="AP9">
        <v>19</v>
      </c>
    </row>
    <row r="10" spans="1:42" ht="13" customHeight="1" thickBot="1" x14ac:dyDescent="0.4">
      <c r="A10" s="3" t="s">
        <v>41</v>
      </c>
      <c r="B10" s="3" t="s">
        <v>42</v>
      </c>
      <c r="C10" s="4" t="s">
        <v>16</v>
      </c>
      <c r="D10" s="4" t="s">
        <v>17</v>
      </c>
      <c r="E10" s="9" t="s">
        <v>43</v>
      </c>
      <c r="I10" s="21" t="s">
        <v>38</v>
      </c>
      <c r="J10">
        <v>24</v>
      </c>
      <c r="K10">
        <v>37</v>
      </c>
      <c r="L10">
        <v>42</v>
      </c>
      <c r="M10">
        <v>17</v>
      </c>
      <c r="N10">
        <v>17</v>
      </c>
      <c r="O10">
        <v>21</v>
      </c>
      <c r="P10">
        <v>17</v>
      </c>
      <c r="Q10">
        <v>0</v>
      </c>
      <c r="R10">
        <v>7</v>
      </c>
      <c r="S10">
        <v>25</v>
      </c>
      <c r="T10">
        <v>40</v>
      </c>
      <c r="U10">
        <v>30</v>
      </c>
      <c r="V10">
        <v>35</v>
      </c>
      <c r="W10">
        <v>34</v>
      </c>
      <c r="X10">
        <v>46</v>
      </c>
      <c r="Y10">
        <v>40</v>
      </c>
      <c r="Z10">
        <v>27</v>
      </c>
      <c r="AA10">
        <v>35</v>
      </c>
      <c r="AB10">
        <v>40</v>
      </c>
      <c r="AC10">
        <v>48</v>
      </c>
      <c r="AD10">
        <v>49</v>
      </c>
      <c r="AE10">
        <v>16</v>
      </c>
      <c r="AF10">
        <v>24</v>
      </c>
      <c r="AG10">
        <v>18</v>
      </c>
      <c r="AH10">
        <v>21</v>
      </c>
      <c r="AI10">
        <v>14</v>
      </c>
      <c r="AJ10">
        <v>29</v>
      </c>
      <c r="AK10">
        <v>31</v>
      </c>
      <c r="AL10">
        <v>33</v>
      </c>
      <c r="AM10">
        <v>20</v>
      </c>
      <c r="AN10">
        <v>26</v>
      </c>
      <c r="AO10">
        <v>18</v>
      </c>
      <c r="AP10">
        <v>14</v>
      </c>
    </row>
    <row r="11" spans="1:42" ht="13" customHeight="1" thickBot="1" x14ac:dyDescent="0.4">
      <c r="A11" s="3" t="s">
        <v>44</v>
      </c>
      <c r="B11" s="3" t="s">
        <v>45</v>
      </c>
      <c r="C11" s="4" t="s">
        <v>26</v>
      </c>
      <c r="D11" s="4" t="s">
        <v>17</v>
      </c>
      <c r="E11" s="9" t="s">
        <v>46</v>
      </c>
      <c r="I11" s="21" t="s">
        <v>41</v>
      </c>
      <c r="J11">
        <v>25</v>
      </c>
      <c r="K11">
        <v>38</v>
      </c>
      <c r="L11">
        <v>44</v>
      </c>
      <c r="M11">
        <v>12</v>
      </c>
      <c r="N11">
        <v>13</v>
      </c>
      <c r="O11">
        <v>22</v>
      </c>
      <c r="P11">
        <v>19</v>
      </c>
      <c r="Q11">
        <v>6</v>
      </c>
      <c r="R11">
        <v>0</v>
      </c>
      <c r="S11">
        <v>20</v>
      </c>
      <c r="T11">
        <v>35</v>
      </c>
      <c r="U11">
        <v>25</v>
      </c>
      <c r="V11">
        <v>30</v>
      </c>
      <c r="W11">
        <v>29</v>
      </c>
      <c r="X11">
        <v>43</v>
      </c>
      <c r="Y11">
        <v>42</v>
      </c>
      <c r="Z11">
        <v>23</v>
      </c>
      <c r="AA11">
        <v>30</v>
      </c>
      <c r="AB11">
        <v>35</v>
      </c>
      <c r="AC11">
        <v>42</v>
      </c>
      <c r="AD11">
        <v>42</v>
      </c>
      <c r="AE11">
        <v>19</v>
      </c>
      <c r="AF11">
        <v>21</v>
      </c>
      <c r="AG11">
        <v>15</v>
      </c>
      <c r="AH11">
        <v>16</v>
      </c>
      <c r="AI11">
        <v>10</v>
      </c>
      <c r="AJ11">
        <v>25</v>
      </c>
      <c r="AK11">
        <v>26</v>
      </c>
      <c r="AL11">
        <v>28</v>
      </c>
      <c r="AM11">
        <v>20</v>
      </c>
      <c r="AN11">
        <v>21</v>
      </c>
      <c r="AO11">
        <v>13</v>
      </c>
      <c r="AP11">
        <v>9</v>
      </c>
    </row>
    <row r="12" spans="1:42" ht="13" customHeight="1" thickBot="1" x14ac:dyDescent="0.4">
      <c r="A12" s="3" t="s">
        <v>47</v>
      </c>
      <c r="B12" s="3" t="s">
        <v>48</v>
      </c>
      <c r="C12" s="4" t="s">
        <v>26</v>
      </c>
      <c r="D12" s="4" t="s">
        <v>21</v>
      </c>
      <c r="E12" s="9" t="s">
        <v>49</v>
      </c>
      <c r="I12" s="21" t="s">
        <v>44</v>
      </c>
      <c r="J12">
        <v>11</v>
      </c>
      <c r="K12">
        <v>23</v>
      </c>
      <c r="L12">
        <v>26</v>
      </c>
      <c r="M12">
        <v>18</v>
      </c>
      <c r="N12">
        <v>18</v>
      </c>
      <c r="O12">
        <v>32</v>
      </c>
      <c r="P12">
        <v>28</v>
      </c>
      <c r="Q12">
        <v>25</v>
      </c>
      <c r="R12">
        <v>19</v>
      </c>
      <c r="S12">
        <v>0</v>
      </c>
      <c r="T12">
        <v>17</v>
      </c>
      <c r="U12">
        <v>8</v>
      </c>
      <c r="V12">
        <v>12</v>
      </c>
      <c r="W12">
        <v>11</v>
      </c>
      <c r="X12">
        <v>25</v>
      </c>
      <c r="Y12">
        <v>37</v>
      </c>
      <c r="Z12">
        <v>8</v>
      </c>
      <c r="AA12">
        <v>18</v>
      </c>
      <c r="AB12">
        <v>23</v>
      </c>
      <c r="AC12">
        <v>28</v>
      </c>
      <c r="AD12">
        <v>28</v>
      </c>
      <c r="AE12">
        <v>32</v>
      </c>
      <c r="AF12">
        <v>29</v>
      </c>
      <c r="AG12">
        <v>27</v>
      </c>
      <c r="AH12">
        <v>7</v>
      </c>
      <c r="AI12">
        <v>11</v>
      </c>
      <c r="AJ12">
        <v>15</v>
      </c>
      <c r="AK12">
        <v>14</v>
      </c>
      <c r="AL12">
        <v>16</v>
      </c>
      <c r="AM12">
        <v>15</v>
      </c>
      <c r="AN12">
        <v>20</v>
      </c>
      <c r="AO12">
        <v>11</v>
      </c>
      <c r="AP12">
        <v>16</v>
      </c>
    </row>
    <row r="13" spans="1:42" ht="13" customHeight="1" thickBot="1" x14ac:dyDescent="0.4">
      <c r="A13" s="3" t="s">
        <v>50</v>
      </c>
      <c r="B13" s="3" t="s">
        <v>51</v>
      </c>
      <c r="C13" s="4" t="s">
        <v>6</v>
      </c>
      <c r="D13" s="4" t="s">
        <v>6</v>
      </c>
      <c r="E13" s="9" t="s">
        <v>52</v>
      </c>
      <c r="I13" s="21" t="s">
        <v>47</v>
      </c>
      <c r="J13">
        <v>25</v>
      </c>
      <c r="K13">
        <v>19</v>
      </c>
      <c r="L13">
        <v>16</v>
      </c>
      <c r="M13">
        <v>34</v>
      </c>
      <c r="N13">
        <v>34</v>
      </c>
      <c r="O13">
        <v>48</v>
      </c>
      <c r="P13">
        <v>44</v>
      </c>
      <c r="Q13">
        <v>41</v>
      </c>
      <c r="R13">
        <v>35</v>
      </c>
      <c r="S13">
        <v>16</v>
      </c>
      <c r="T13">
        <v>0</v>
      </c>
      <c r="U13">
        <v>12</v>
      </c>
      <c r="V13">
        <v>10</v>
      </c>
      <c r="W13">
        <v>9</v>
      </c>
      <c r="X13">
        <v>15</v>
      </c>
      <c r="Y13">
        <v>35</v>
      </c>
      <c r="Z13">
        <v>22</v>
      </c>
      <c r="AA13">
        <v>16</v>
      </c>
      <c r="AB13">
        <v>17</v>
      </c>
      <c r="AC13">
        <v>25</v>
      </c>
      <c r="AD13">
        <v>22</v>
      </c>
      <c r="AE13">
        <v>39</v>
      </c>
      <c r="AF13">
        <v>32</v>
      </c>
      <c r="AG13">
        <v>38</v>
      </c>
      <c r="AH13">
        <v>23</v>
      </c>
      <c r="AI13">
        <v>27</v>
      </c>
      <c r="AJ13">
        <v>21</v>
      </c>
      <c r="AK13">
        <v>20</v>
      </c>
      <c r="AL13">
        <v>19</v>
      </c>
      <c r="AM13">
        <v>27</v>
      </c>
      <c r="AN13">
        <v>28</v>
      </c>
      <c r="AO13">
        <v>28</v>
      </c>
      <c r="AP13">
        <v>32</v>
      </c>
    </row>
    <row r="14" spans="1:42" ht="13" customHeight="1" thickBot="1" x14ac:dyDescent="0.4">
      <c r="A14" s="3" t="s">
        <v>53</v>
      </c>
      <c r="B14" s="3" t="s">
        <v>54</v>
      </c>
      <c r="C14" s="4" t="s">
        <v>26</v>
      </c>
      <c r="D14" s="4" t="s">
        <v>21</v>
      </c>
      <c r="E14" s="9" t="s">
        <v>55</v>
      </c>
      <c r="I14" s="21" t="s">
        <v>50</v>
      </c>
      <c r="J14">
        <v>17</v>
      </c>
      <c r="K14">
        <v>23</v>
      </c>
      <c r="L14">
        <v>21</v>
      </c>
      <c r="M14">
        <v>24</v>
      </c>
      <c r="N14">
        <v>24</v>
      </c>
      <c r="O14">
        <v>39</v>
      </c>
      <c r="P14">
        <v>35</v>
      </c>
      <c r="Q14">
        <v>32</v>
      </c>
      <c r="R14">
        <v>26</v>
      </c>
      <c r="S14">
        <v>8</v>
      </c>
      <c r="T14">
        <v>12</v>
      </c>
      <c r="U14">
        <v>0</v>
      </c>
      <c r="V14">
        <v>8</v>
      </c>
      <c r="W14">
        <v>7</v>
      </c>
      <c r="X14">
        <v>19</v>
      </c>
      <c r="Y14">
        <v>37</v>
      </c>
      <c r="Z14">
        <v>14</v>
      </c>
      <c r="AA14">
        <v>14</v>
      </c>
      <c r="AB14">
        <v>18</v>
      </c>
      <c r="AC14">
        <v>23</v>
      </c>
      <c r="AD14">
        <v>23</v>
      </c>
      <c r="AE14">
        <v>33</v>
      </c>
      <c r="AF14">
        <v>26</v>
      </c>
      <c r="AG14">
        <v>31</v>
      </c>
      <c r="AH14">
        <v>13</v>
      </c>
      <c r="AI14">
        <v>18</v>
      </c>
      <c r="AJ14">
        <v>12</v>
      </c>
      <c r="AK14">
        <v>11</v>
      </c>
      <c r="AL14">
        <v>12</v>
      </c>
      <c r="AM14">
        <v>21</v>
      </c>
      <c r="AN14">
        <v>18</v>
      </c>
      <c r="AO14">
        <v>18</v>
      </c>
      <c r="AP14">
        <v>22</v>
      </c>
    </row>
    <row r="15" spans="1:42" ht="13" customHeight="1" thickBot="1" x14ac:dyDescent="0.4">
      <c r="A15" s="3" t="s">
        <v>56</v>
      </c>
      <c r="B15" s="3" t="s">
        <v>57</v>
      </c>
      <c r="C15" s="4" t="s">
        <v>26</v>
      </c>
      <c r="D15" s="4" t="s">
        <v>58</v>
      </c>
      <c r="E15" s="9" t="s">
        <v>59</v>
      </c>
      <c r="I15" s="21" t="s">
        <v>53</v>
      </c>
      <c r="J15">
        <v>15</v>
      </c>
      <c r="K15">
        <v>15</v>
      </c>
      <c r="L15">
        <v>21</v>
      </c>
      <c r="M15">
        <v>28</v>
      </c>
      <c r="N15">
        <v>27</v>
      </c>
      <c r="O15">
        <v>38</v>
      </c>
      <c r="P15">
        <v>34</v>
      </c>
      <c r="Q15">
        <v>36</v>
      </c>
      <c r="R15">
        <v>29</v>
      </c>
      <c r="S15">
        <v>12</v>
      </c>
      <c r="T15">
        <v>15</v>
      </c>
      <c r="U15">
        <v>12</v>
      </c>
      <c r="V15">
        <v>0</v>
      </c>
      <c r="W15">
        <v>9</v>
      </c>
      <c r="X15">
        <v>23</v>
      </c>
      <c r="Y15">
        <v>29</v>
      </c>
      <c r="Z15">
        <v>11</v>
      </c>
      <c r="AA15">
        <v>23</v>
      </c>
      <c r="AB15">
        <v>25</v>
      </c>
      <c r="AC15">
        <v>30</v>
      </c>
      <c r="AD15">
        <v>30</v>
      </c>
      <c r="AE15">
        <v>42</v>
      </c>
      <c r="AF15">
        <v>35</v>
      </c>
      <c r="AG15">
        <v>37</v>
      </c>
      <c r="AH15">
        <v>17</v>
      </c>
      <c r="AI15">
        <v>21</v>
      </c>
      <c r="AJ15">
        <v>21</v>
      </c>
      <c r="AK15">
        <v>19</v>
      </c>
      <c r="AL15">
        <v>20</v>
      </c>
      <c r="AM15">
        <v>16</v>
      </c>
      <c r="AN15">
        <v>27</v>
      </c>
      <c r="AO15">
        <v>21</v>
      </c>
      <c r="AP15">
        <v>26</v>
      </c>
    </row>
    <row r="16" spans="1:42" ht="13" customHeight="1" thickBot="1" x14ac:dyDescent="0.4">
      <c r="A16" s="3" t="s">
        <v>60</v>
      </c>
      <c r="B16" s="3" t="s">
        <v>61</v>
      </c>
      <c r="C16" s="4" t="s">
        <v>6</v>
      </c>
      <c r="D16" s="4" t="s">
        <v>6</v>
      </c>
      <c r="E16" s="9" t="s">
        <v>62</v>
      </c>
      <c r="I16" s="21" t="s">
        <v>56</v>
      </c>
      <c r="J16">
        <v>18</v>
      </c>
      <c r="K16">
        <v>19</v>
      </c>
      <c r="L16">
        <v>22</v>
      </c>
      <c r="M16">
        <v>28</v>
      </c>
      <c r="N16">
        <v>28</v>
      </c>
      <c r="O16">
        <v>42</v>
      </c>
      <c r="P16">
        <v>37</v>
      </c>
      <c r="Q16">
        <v>36</v>
      </c>
      <c r="R16">
        <v>30</v>
      </c>
      <c r="S16">
        <v>10</v>
      </c>
      <c r="T16">
        <v>13</v>
      </c>
      <c r="U16">
        <v>11</v>
      </c>
      <c r="V16">
        <v>4</v>
      </c>
      <c r="W16">
        <v>0</v>
      </c>
      <c r="X16">
        <v>21</v>
      </c>
      <c r="Y16">
        <v>33</v>
      </c>
      <c r="Z16">
        <v>15</v>
      </c>
      <c r="AA16">
        <v>20</v>
      </c>
      <c r="AB16">
        <v>23</v>
      </c>
      <c r="AC16">
        <v>28</v>
      </c>
      <c r="AD16">
        <v>28</v>
      </c>
      <c r="AE16">
        <v>42</v>
      </c>
      <c r="AF16">
        <v>34</v>
      </c>
      <c r="AG16">
        <v>38</v>
      </c>
      <c r="AH16">
        <v>17</v>
      </c>
      <c r="AI16">
        <v>22</v>
      </c>
      <c r="AJ16">
        <v>20</v>
      </c>
      <c r="AK16">
        <v>18</v>
      </c>
      <c r="AL16">
        <v>19</v>
      </c>
      <c r="AM16">
        <v>20</v>
      </c>
      <c r="AN16">
        <v>26</v>
      </c>
      <c r="AO16">
        <v>22</v>
      </c>
      <c r="AP16">
        <v>26</v>
      </c>
    </row>
    <row r="17" spans="1:42" ht="13" customHeight="1" thickBot="1" x14ac:dyDescent="0.4">
      <c r="A17" s="3" t="s">
        <v>63</v>
      </c>
      <c r="B17" s="3" t="s">
        <v>64</v>
      </c>
      <c r="C17" s="4" t="s">
        <v>16</v>
      </c>
      <c r="D17" s="4" t="s">
        <v>58</v>
      </c>
      <c r="E17" s="9" t="s">
        <v>65</v>
      </c>
      <c r="I17" s="21" t="s">
        <v>60</v>
      </c>
      <c r="J17">
        <v>30</v>
      </c>
      <c r="K17">
        <v>13</v>
      </c>
      <c r="L17">
        <v>9</v>
      </c>
      <c r="M17">
        <v>42</v>
      </c>
      <c r="N17">
        <v>42</v>
      </c>
      <c r="O17">
        <v>48</v>
      </c>
      <c r="P17">
        <v>44</v>
      </c>
      <c r="Q17">
        <v>46</v>
      </c>
      <c r="R17">
        <v>44</v>
      </c>
      <c r="S17">
        <v>25</v>
      </c>
      <c r="T17">
        <v>17</v>
      </c>
      <c r="U17">
        <v>21</v>
      </c>
      <c r="V17">
        <v>19</v>
      </c>
      <c r="W17">
        <v>18</v>
      </c>
      <c r="X17">
        <v>0</v>
      </c>
      <c r="Y17">
        <v>28</v>
      </c>
      <c r="Z17">
        <v>26</v>
      </c>
      <c r="AA17">
        <v>27</v>
      </c>
      <c r="AB17">
        <v>28</v>
      </c>
      <c r="AC17">
        <v>32</v>
      </c>
      <c r="AD17">
        <v>29</v>
      </c>
      <c r="AE17">
        <v>49</v>
      </c>
      <c r="AF17">
        <v>42</v>
      </c>
      <c r="AG17">
        <v>49</v>
      </c>
      <c r="AH17">
        <v>31</v>
      </c>
      <c r="AI17">
        <v>36</v>
      </c>
      <c r="AJ17">
        <v>30</v>
      </c>
      <c r="AK17">
        <v>29</v>
      </c>
      <c r="AL17">
        <v>30</v>
      </c>
      <c r="AM17">
        <v>31</v>
      </c>
      <c r="AN17">
        <v>36</v>
      </c>
      <c r="AO17">
        <v>36</v>
      </c>
      <c r="AP17">
        <v>40</v>
      </c>
    </row>
    <row r="18" spans="1:42" ht="13" customHeight="1" thickBot="1" x14ac:dyDescent="0.4">
      <c r="A18" s="3" t="s">
        <v>66</v>
      </c>
      <c r="B18" s="3" t="s">
        <v>67</v>
      </c>
      <c r="C18" s="4" t="s">
        <v>16</v>
      </c>
      <c r="D18" s="4" t="s">
        <v>21</v>
      </c>
      <c r="E18" s="9" t="s">
        <v>68</v>
      </c>
      <c r="I18" s="21" t="s">
        <v>63</v>
      </c>
      <c r="J18">
        <v>33</v>
      </c>
      <c r="K18">
        <v>22</v>
      </c>
      <c r="L18">
        <v>26</v>
      </c>
      <c r="M18">
        <v>47</v>
      </c>
      <c r="N18">
        <v>47</v>
      </c>
      <c r="O18">
        <v>41</v>
      </c>
      <c r="P18">
        <v>37</v>
      </c>
      <c r="Q18">
        <v>39</v>
      </c>
      <c r="R18">
        <v>42</v>
      </c>
      <c r="S18">
        <v>37</v>
      </c>
      <c r="T18">
        <v>37</v>
      </c>
      <c r="U18">
        <v>37</v>
      </c>
      <c r="V18">
        <v>29</v>
      </c>
      <c r="W18">
        <v>33</v>
      </c>
      <c r="X18">
        <v>30</v>
      </c>
      <c r="Y18">
        <v>0</v>
      </c>
      <c r="Z18">
        <v>32</v>
      </c>
      <c r="AA18">
        <v>46</v>
      </c>
      <c r="AB18">
        <v>48</v>
      </c>
      <c r="AC18">
        <v>51</v>
      </c>
      <c r="AD18">
        <v>48</v>
      </c>
      <c r="AE18">
        <v>50</v>
      </c>
      <c r="AF18">
        <v>58</v>
      </c>
      <c r="AG18">
        <v>53</v>
      </c>
      <c r="AH18">
        <v>37</v>
      </c>
      <c r="AI18">
        <v>42</v>
      </c>
      <c r="AJ18">
        <v>46</v>
      </c>
      <c r="AK18">
        <v>45</v>
      </c>
      <c r="AL18">
        <v>45</v>
      </c>
      <c r="AM18">
        <v>33</v>
      </c>
      <c r="AN18">
        <v>51</v>
      </c>
      <c r="AO18">
        <v>42</v>
      </c>
      <c r="AP18">
        <v>43</v>
      </c>
    </row>
    <row r="19" spans="1:42" ht="13" customHeight="1" thickBot="1" x14ac:dyDescent="0.4">
      <c r="A19" s="3" t="s">
        <v>69</v>
      </c>
      <c r="B19" s="3" t="s">
        <v>70</v>
      </c>
      <c r="C19" s="4" t="s">
        <v>16</v>
      </c>
      <c r="D19" s="4" t="s">
        <v>21</v>
      </c>
      <c r="E19" s="9" t="s">
        <v>71</v>
      </c>
      <c r="I19" s="21" t="s">
        <v>66</v>
      </c>
      <c r="J19">
        <v>6</v>
      </c>
      <c r="K19">
        <v>18</v>
      </c>
      <c r="L19">
        <v>24</v>
      </c>
      <c r="M19">
        <v>18</v>
      </c>
      <c r="N19">
        <v>18</v>
      </c>
      <c r="O19">
        <v>32</v>
      </c>
      <c r="P19">
        <v>29</v>
      </c>
      <c r="Q19">
        <v>26</v>
      </c>
      <c r="R19">
        <v>20</v>
      </c>
      <c r="S19">
        <v>7</v>
      </c>
      <c r="T19">
        <v>22</v>
      </c>
      <c r="U19">
        <v>14</v>
      </c>
      <c r="V19">
        <v>11</v>
      </c>
      <c r="W19">
        <v>15</v>
      </c>
      <c r="X19">
        <v>25</v>
      </c>
      <c r="Y19">
        <v>32</v>
      </c>
      <c r="Z19">
        <v>0</v>
      </c>
      <c r="AA19">
        <v>23</v>
      </c>
      <c r="AB19">
        <v>28</v>
      </c>
      <c r="AC19">
        <v>37</v>
      </c>
      <c r="AD19">
        <v>37</v>
      </c>
      <c r="AE19">
        <v>32</v>
      </c>
      <c r="AF19">
        <v>30</v>
      </c>
      <c r="AG19">
        <v>28</v>
      </c>
      <c r="AH19">
        <v>7</v>
      </c>
      <c r="AI19">
        <v>12</v>
      </c>
      <c r="AJ19">
        <v>20</v>
      </c>
      <c r="AK19">
        <v>19</v>
      </c>
      <c r="AL19">
        <v>21</v>
      </c>
      <c r="AM19">
        <v>10</v>
      </c>
      <c r="AN19">
        <v>21</v>
      </c>
      <c r="AO19">
        <v>12</v>
      </c>
      <c r="AP19">
        <v>16</v>
      </c>
    </row>
    <row r="20" spans="1:42" ht="13" customHeight="1" thickBot="1" x14ac:dyDescent="0.4">
      <c r="A20" s="3" t="s">
        <v>72</v>
      </c>
      <c r="B20" s="3" t="s">
        <v>73</v>
      </c>
      <c r="C20" s="4" t="s">
        <v>6</v>
      </c>
      <c r="D20" s="4" t="s">
        <v>6</v>
      </c>
      <c r="E20" s="9" t="s">
        <v>74</v>
      </c>
      <c r="I20" s="21" t="s">
        <v>69</v>
      </c>
      <c r="J20">
        <v>26</v>
      </c>
      <c r="K20">
        <v>30</v>
      </c>
      <c r="L20">
        <v>27</v>
      </c>
      <c r="M20">
        <v>27</v>
      </c>
      <c r="N20">
        <v>27</v>
      </c>
      <c r="O20">
        <v>43</v>
      </c>
      <c r="P20">
        <v>40</v>
      </c>
      <c r="Q20">
        <v>38</v>
      </c>
      <c r="R20">
        <v>31</v>
      </c>
      <c r="S20">
        <v>17</v>
      </c>
      <c r="T20">
        <v>15</v>
      </c>
      <c r="U20">
        <v>14</v>
      </c>
      <c r="V20">
        <v>17</v>
      </c>
      <c r="W20">
        <v>16</v>
      </c>
      <c r="X20">
        <v>26</v>
      </c>
      <c r="Y20">
        <v>46</v>
      </c>
      <c r="Z20">
        <v>22</v>
      </c>
      <c r="AA20">
        <v>0</v>
      </c>
      <c r="AB20">
        <v>6</v>
      </c>
      <c r="AC20">
        <v>14</v>
      </c>
      <c r="AD20">
        <v>15</v>
      </c>
      <c r="AE20">
        <v>29</v>
      </c>
      <c r="AF20">
        <v>22</v>
      </c>
      <c r="AG20">
        <v>29</v>
      </c>
      <c r="AH20">
        <v>18</v>
      </c>
      <c r="AI20">
        <v>23</v>
      </c>
      <c r="AJ20">
        <v>12</v>
      </c>
      <c r="AK20">
        <v>8</v>
      </c>
      <c r="AL20">
        <v>7</v>
      </c>
      <c r="AM20">
        <v>30</v>
      </c>
      <c r="AN20">
        <v>19</v>
      </c>
      <c r="AO20">
        <v>23</v>
      </c>
      <c r="AP20">
        <v>27</v>
      </c>
    </row>
    <row r="21" spans="1:42" ht="13" customHeight="1" thickBot="1" x14ac:dyDescent="0.4">
      <c r="A21" s="3" t="s">
        <v>75</v>
      </c>
      <c r="B21" s="3" t="s">
        <v>76</v>
      </c>
      <c r="C21" s="4" t="s">
        <v>16</v>
      </c>
      <c r="D21" s="4" t="s">
        <v>17</v>
      </c>
      <c r="E21" s="9" t="s">
        <v>77</v>
      </c>
      <c r="I21" s="21" t="s">
        <v>72</v>
      </c>
      <c r="J21">
        <v>29</v>
      </c>
      <c r="K21">
        <v>31</v>
      </c>
      <c r="L21">
        <v>28</v>
      </c>
      <c r="M21">
        <v>29</v>
      </c>
      <c r="N21">
        <v>29</v>
      </c>
      <c r="O21">
        <v>46</v>
      </c>
      <c r="P21">
        <v>43</v>
      </c>
      <c r="Q21">
        <v>40</v>
      </c>
      <c r="R21">
        <v>34</v>
      </c>
      <c r="S21">
        <v>20</v>
      </c>
      <c r="T21">
        <v>15</v>
      </c>
      <c r="U21">
        <v>17</v>
      </c>
      <c r="V21">
        <v>19</v>
      </c>
      <c r="W21">
        <v>18</v>
      </c>
      <c r="X21">
        <v>26</v>
      </c>
      <c r="Y21">
        <v>47</v>
      </c>
      <c r="Z21">
        <v>26</v>
      </c>
      <c r="AA21">
        <v>7</v>
      </c>
      <c r="AB21">
        <v>0</v>
      </c>
      <c r="AC21">
        <v>10</v>
      </c>
      <c r="AD21">
        <v>15</v>
      </c>
      <c r="AE21">
        <v>32</v>
      </c>
      <c r="AF21">
        <v>25</v>
      </c>
      <c r="AG21">
        <v>31</v>
      </c>
      <c r="AH21">
        <v>21</v>
      </c>
      <c r="AI21">
        <v>26</v>
      </c>
      <c r="AJ21">
        <v>15</v>
      </c>
      <c r="AK21">
        <v>11</v>
      </c>
      <c r="AL21">
        <v>10</v>
      </c>
      <c r="AM21">
        <v>33</v>
      </c>
      <c r="AN21">
        <v>21</v>
      </c>
      <c r="AO21">
        <v>26</v>
      </c>
      <c r="AP21">
        <v>30</v>
      </c>
    </row>
    <row r="22" spans="1:42" ht="13" customHeight="1" thickBot="1" x14ac:dyDescent="0.4">
      <c r="A22" s="3" t="s">
        <v>78</v>
      </c>
      <c r="B22" s="3" t="s">
        <v>79</v>
      </c>
      <c r="C22" s="4" t="s">
        <v>26</v>
      </c>
      <c r="D22" s="4" t="s">
        <v>21</v>
      </c>
      <c r="E22" s="9" t="s">
        <v>80</v>
      </c>
      <c r="I22" s="21" t="s">
        <v>75</v>
      </c>
      <c r="J22">
        <v>37</v>
      </c>
      <c r="K22">
        <v>37</v>
      </c>
      <c r="L22">
        <v>34</v>
      </c>
      <c r="M22">
        <v>33</v>
      </c>
      <c r="N22">
        <v>33</v>
      </c>
      <c r="O22">
        <v>54</v>
      </c>
      <c r="P22">
        <v>51</v>
      </c>
      <c r="Q22">
        <v>44</v>
      </c>
      <c r="R22">
        <v>41</v>
      </c>
      <c r="S22">
        <v>28</v>
      </c>
      <c r="T22">
        <v>22</v>
      </c>
      <c r="U22">
        <v>24</v>
      </c>
      <c r="V22">
        <v>26</v>
      </c>
      <c r="W22">
        <v>25</v>
      </c>
      <c r="X22">
        <v>32</v>
      </c>
      <c r="Y22">
        <v>53</v>
      </c>
      <c r="Z22">
        <v>33</v>
      </c>
      <c r="AA22">
        <v>14</v>
      </c>
      <c r="AB22">
        <v>8</v>
      </c>
      <c r="AC22">
        <v>0</v>
      </c>
      <c r="AD22">
        <v>9</v>
      </c>
      <c r="AE22">
        <v>40</v>
      </c>
      <c r="AF22">
        <v>32</v>
      </c>
      <c r="AG22">
        <v>39</v>
      </c>
      <c r="AH22">
        <v>29</v>
      </c>
      <c r="AI22">
        <v>33</v>
      </c>
      <c r="AJ22">
        <v>20</v>
      </c>
      <c r="AK22">
        <v>18</v>
      </c>
      <c r="AL22">
        <v>17</v>
      </c>
      <c r="AM22">
        <v>40</v>
      </c>
      <c r="AN22">
        <v>26</v>
      </c>
      <c r="AO22">
        <v>33</v>
      </c>
      <c r="AP22">
        <v>36</v>
      </c>
    </row>
    <row r="23" spans="1:42" ht="13" customHeight="1" thickBot="1" x14ac:dyDescent="0.4">
      <c r="A23" s="3" t="s">
        <v>81</v>
      </c>
      <c r="B23" s="3" t="s">
        <v>82</v>
      </c>
      <c r="C23" s="4" t="s">
        <v>16</v>
      </c>
      <c r="D23" s="4" t="s">
        <v>21</v>
      </c>
      <c r="E23" s="9" t="s">
        <v>83</v>
      </c>
      <c r="I23" s="21" t="s">
        <v>78</v>
      </c>
      <c r="J23">
        <v>35</v>
      </c>
      <c r="K23">
        <v>36</v>
      </c>
      <c r="L23">
        <v>32</v>
      </c>
      <c r="M23">
        <v>38</v>
      </c>
      <c r="N23">
        <v>38</v>
      </c>
      <c r="O23">
        <v>53</v>
      </c>
      <c r="P23">
        <v>50</v>
      </c>
      <c r="Q23">
        <v>48</v>
      </c>
      <c r="R23">
        <v>41</v>
      </c>
      <c r="S23">
        <v>26</v>
      </c>
      <c r="T23">
        <v>22</v>
      </c>
      <c r="U23">
        <v>20</v>
      </c>
      <c r="V23">
        <v>23</v>
      </c>
      <c r="W23">
        <v>22</v>
      </c>
      <c r="X23">
        <v>31</v>
      </c>
      <c r="Y23">
        <v>51</v>
      </c>
      <c r="Z23">
        <v>31</v>
      </c>
      <c r="AA23">
        <v>17</v>
      </c>
      <c r="AB23">
        <v>15</v>
      </c>
      <c r="AC23">
        <v>7</v>
      </c>
      <c r="AD23">
        <v>0</v>
      </c>
      <c r="AE23">
        <v>41</v>
      </c>
      <c r="AF23">
        <v>34</v>
      </c>
      <c r="AG23">
        <v>41</v>
      </c>
      <c r="AH23">
        <v>28</v>
      </c>
      <c r="AI23">
        <v>33</v>
      </c>
      <c r="AJ23">
        <v>24</v>
      </c>
      <c r="AK23">
        <v>21</v>
      </c>
      <c r="AL23">
        <v>20</v>
      </c>
      <c r="AM23">
        <v>39</v>
      </c>
      <c r="AN23">
        <v>31</v>
      </c>
      <c r="AO23">
        <v>33</v>
      </c>
      <c r="AP23">
        <v>37</v>
      </c>
    </row>
    <row r="24" spans="1:42" ht="13" customHeight="1" thickBot="1" x14ac:dyDescent="0.4">
      <c r="A24" s="3" t="s">
        <v>84</v>
      </c>
      <c r="B24" s="3" t="s">
        <v>85</v>
      </c>
      <c r="C24" s="4" t="s">
        <v>16</v>
      </c>
      <c r="D24" s="4" t="s">
        <v>21</v>
      </c>
      <c r="E24" s="9" t="s">
        <v>86</v>
      </c>
      <c r="I24" s="21" t="s">
        <v>81</v>
      </c>
      <c r="J24">
        <v>34</v>
      </c>
      <c r="K24">
        <v>46</v>
      </c>
      <c r="L24">
        <v>51</v>
      </c>
      <c r="M24">
        <v>14</v>
      </c>
      <c r="N24">
        <v>14</v>
      </c>
      <c r="O24">
        <v>30</v>
      </c>
      <c r="P24">
        <v>27</v>
      </c>
      <c r="Q24">
        <v>16</v>
      </c>
      <c r="R24">
        <v>18</v>
      </c>
      <c r="S24">
        <v>30</v>
      </c>
      <c r="T24">
        <v>39</v>
      </c>
      <c r="U24">
        <v>36</v>
      </c>
      <c r="V24">
        <v>40</v>
      </c>
      <c r="W24">
        <v>39</v>
      </c>
      <c r="X24">
        <v>50</v>
      </c>
      <c r="Y24">
        <v>49</v>
      </c>
      <c r="Z24">
        <v>33</v>
      </c>
      <c r="AA24">
        <v>30</v>
      </c>
      <c r="AB24">
        <v>31</v>
      </c>
      <c r="AC24">
        <v>37</v>
      </c>
      <c r="AD24">
        <v>41</v>
      </c>
      <c r="AE24">
        <v>0</v>
      </c>
      <c r="AF24">
        <v>11</v>
      </c>
      <c r="AG24">
        <v>9</v>
      </c>
      <c r="AH24">
        <v>26</v>
      </c>
      <c r="AI24">
        <v>20</v>
      </c>
      <c r="AJ24">
        <v>25</v>
      </c>
      <c r="AK24">
        <v>29</v>
      </c>
      <c r="AL24">
        <v>28</v>
      </c>
      <c r="AM24">
        <v>29</v>
      </c>
      <c r="AN24">
        <v>19</v>
      </c>
      <c r="AO24">
        <v>20</v>
      </c>
      <c r="AP24">
        <v>16</v>
      </c>
    </row>
    <row r="25" spans="1:42" ht="13" customHeight="1" thickBot="1" x14ac:dyDescent="0.4">
      <c r="A25" s="3" t="s">
        <v>87</v>
      </c>
      <c r="B25" s="3" t="s">
        <v>88</v>
      </c>
      <c r="C25" s="4" t="s">
        <v>26</v>
      </c>
      <c r="D25" s="4" t="s">
        <v>21</v>
      </c>
      <c r="E25" s="9" t="s">
        <v>89</v>
      </c>
      <c r="I25" s="21" t="s">
        <v>84</v>
      </c>
      <c r="J25">
        <v>36</v>
      </c>
      <c r="K25">
        <v>47</v>
      </c>
      <c r="L25">
        <v>43</v>
      </c>
      <c r="M25">
        <v>16</v>
      </c>
      <c r="N25">
        <v>16</v>
      </c>
      <c r="O25">
        <v>36</v>
      </c>
      <c r="P25">
        <v>32</v>
      </c>
      <c r="Q25">
        <v>22</v>
      </c>
      <c r="R25">
        <v>20</v>
      </c>
      <c r="S25">
        <v>29</v>
      </c>
      <c r="T25">
        <v>31</v>
      </c>
      <c r="U25">
        <v>29</v>
      </c>
      <c r="V25">
        <v>34</v>
      </c>
      <c r="W25">
        <v>32</v>
      </c>
      <c r="X25">
        <v>42</v>
      </c>
      <c r="Y25">
        <v>55</v>
      </c>
      <c r="Z25">
        <v>32</v>
      </c>
      <c r="AA25">
        <v>22</v>
      </c>
      <c r="AB25">
        <v>23</v>
      </c>
      <c r="AC25">
        <v>29</v>
      </c>
      <c r="AD25">
        <v>33</v>
      </c>
      <c r="AE25">
        <v>11</v>
      </c>
      <c r="AF25">
        <v>0</v>
      </c>
      <c r="AG25">
        <v>11</v>
      </c>
      <c r="AH25">
        <v>25</v>
      </c>
      <c r="AI25">
        <v>21</v>
      </c>
      <c r="AJ25">
        <v>17</v>
      </c>
      <c r="AK25">
        <v>21</v>
      </c>
      <c r="AL25">
        <v>20</v>
      </c>
      <c r="AM25">
        <v>35</v>
      </c>
      <c r="AN25">
        <v>13</v>
      </c>
      <c r="AO25">
        <v>22</v>
      </c>
      <c r="AP25">
        <v>17</v>
      </c>
    </row>
    <row r="26" spans="1:42" ht="13" customHeight="1" thickBot="1" x14ac:dyDescent="0.4">
      <c r="A26" s="3" t="s">
        <v>90</v>
      </c>
      <c r="B26" s="17" t="s">
        <v>91</v>
      </c>
      <c r="C26" s="18" t="s">
        <v>26</v>
      </c>
      <c r="D26" s="18" t="s">
        <v>17</v>
      </c>
      <c r="E26" s="19" t="s">
        <v>92</v>
      </c>
      <c r="F26" s="20"/>
      <c r="G26" s="20"/>
      <c r="I26" s="21" t="s">
        <v>87</v>
      </c>
      <c r="J26">
        <v>31</v>
      </c>
      <c r="K26">
        <v>42</v>
      </c>
      <c r="L26">
        <v>48</v>
      </c>
      <c r="M26">
        <v>8</v>
      </c>
      <c r="N26">
        <v>8</v>
      </c>
      <c r="O26">
        <v>32</v>
      </c>
      <c r="P26">
        <v>28</v>
      </c>
      <c r="Q26">
        <v>16</v>
      </c>
      <c r="R26">
        <v>12</v>
      </c>
      <c r="S26">
        <v>24</v>
      </c>
      <c r="T26">
        <v>36</v>
      </c>
      <c r="U26">
        <v>29</v>
      </c>
      <c r="V26">
        <v>34</v>
      </c>
      <c r="W26">
        <v>33</v>
      </c>
      <c r="X26">
        <v>46</v>
      </c>
      <c r="Y26">
        <v>51</v>
      </c>
      <c r="Z26">
        <v>27</v>
      </c>
      <c r="AA26">
        <v>27</v>
      </c>
      <c r="AB26">
        <v>28</v>
      </c>
      <c r="AC26">
        <v>34</v>
      </c>
      <c r="AD26">
        <v>38</v>
      </c>
      <c r="AE26">
        <v>7</v>
      </c>
      <c r="AF26">
        <v>9</v>
      </c>
      <c r="AG26">
        <v>0</v>
      </c>
      <c r="AH26">
        <v>20</v>
      </c>
      <c r="AI26">
        <v>14</v>
      </c>
      <c r="AJ26">
        <v>20</v>
      </c>
      <c r="AK26">
        <v>25</v>
      </c>
      <c r="AL26">
        <v>25</v>
      </c>
      <c r="AM26">
        <v>28</v>
      </c>
      <c r="AN26">
        <v>12</v>
      </c>
      <c r="AO26">
        <v>14</v>
      </c>
      <c r="AP26">
        <v>10</v>
      </c>
    </row>
    <row r="27" spans="1:42" ht="13" customHeight="1" thickBot="1" x14ac:dyDescent="0.4">
      <c r="A27" s="3" t="s">
        <v>93</v>
      </c>
      <c r="B27" s="3" t="s">
        <v>94</v>
      </c>
      <c r="C27" s="4" t="s">
        <v>26</v>
      </c>
      <c r="D27" s="4" t="s">
        <v>17</v>
      </c>
      <c r="E27" s="9" t="s">
        <v>95</v>
      </c>
      <c r="I27" s="21" t="s">
        <v>90</v>
      </c>
      <c r="J27">
        <v>16</v>
      </c>
      <c r="K27">
        <v>27</v>
      </c>
      <c r="L27">
        <v>33</v>
      </c>
      <c r="M27">
        <v>12</v>
      </c>
      <c r="N27">
        <v>12</v>
      </c>
      <c r="O27">
        <v>25</v>
      </c>
      <c r="P27">
        <v>22</v>
      </c>
      <c r="Q27">
        <v>19</v>
      </c>
      <c r="R27">
        <v>13</v>
      </c>
      <c r="S27">
        <v>9</v>
      </c>
      <c r="T27">
        <v>24</v>
      </c>
      <c r="U27">
        <v>14</v>
      </c>
      <c r="V27">
        <v>19</v>
      </c>
      <c r="W27">
        <v>18</v>
      </c>
      <c r="X27">
        <v>32</v>
      </c>
      <c r="Y27">
        <v>42</v>
      </c>
      <c r="Z27">
        <v>12</v>
      </c>
      <c r="AA27">
        <v>19</v>
      </c>
      <c r="AB27">
        <v>24</v>
      </c>
      <c r="AC27">
        <v>30</v>
      </c>
      <c r="AD27">
        <v>31</v>
      </c>
      <c r="AE27">
        <v>25</v>
      </c>
      <c r="AF27">
        <v>24</v>
      </c>
      <c r="AG27">
        <v>21</v>
      </c>
      <c r="AH27">
        <v>0</v>
      </c>
      <c r="AI27">
        <v>5</v>
      </c>
      <c r="AJ27">
        <v>16</v>
      </c>
      <c r="AK27">
        <v>15</v>
      </c>
      <c r="AL27">
        <v>17</v>
      </c>
      <c r="AM27">
        <v>20</v>
      </c>
      <c r="AN27">
        <v>14</v>
      </c>
      <c r="AO27">
        <v>5</v>
      </c>
      <c r="AP27">
        <v>9</v>
      </c>
    </row>
    <row r="28" spans="1:42" ht="13" customHeight="1" thickBot="1" x14ac:dyDescent="0.4">
      <c r="A28" s="3" t="s">
        <v>96</v>
      </c>
      <c r="B28" s="3" t="s">
        <v>97</v>
      </c>
      <c r="C28" s="4" t="s">
        <v>16</v>
      </c>
      <c r="D28" s="4" t="s">
        <v>21</v>
      </c>
      <c r="E28" s="9" t="s">
        <v>98</v>
      </c>
      <c r="I28" s="21" t="s">
        <v>93</v>
      </c>
      <c r="J28">
        <v>17</v>
      </c>
      <c r="K28">
        <v>29</v>
      </c>
      <c r="L28">
        <v>34</v>
      </c>
      <c r="M28">
        <v>7</v>
      </c>
      <c r="N28">
        <v>8</v>
      </c>
      <c r="O28">
        <v>23</v>
      </c>
      <c r="P28">
        <v>20</v>
      </c>
      <c r="Q28">
        <v>16</v>
      </c>
      <c r="R28">
        <v>10</v>
      </c>
      <c r="S28">
        <v>11</v>
      </c>
      <c r="T28">
        <v>25</v>
      </c>
      <c r="U28">
        <v>16</v>
      </c>
      <c r="V28">
        <v>20</v>
      </c>
      <c r="W28">
        <v>19</v>
      </c>
      <c r="X28">
        <v>33</v>
      </c>
      <c r="Y28">
        <v>43</v>
      </c>
      <c r="Z28">
        <v>13</v>
      </c>
      <c r="AA28">
        <v>21</v>
      </c>
      <c r="AB28">
        <v>25</v>
      </c>
      <c r="AC28">
        <v>32</v>
      </c>
      <c r="AD28">
        <v>32</v>
      </c>
      <c r="AE28">
        <v>20</v>
      </c>
      <c r="AF28">
        <v>20</v>
      </c>
      <c r="AG28">
        <v>16</v>
      </c>
      <c r="AH28">
        <v>7</v>
      </c>
      <c r="AI28">
        <v>0</v>
      </c>
      <c r="AJ28">
        <v>18</v>
      </c>
      <c r="AK28">
        <v>16</v>
      </c>
      <c r="AL28">
        <v>18</v>
      </c>
      <c r="AM28">
        <v>18</v>
      </c>
      <c r="AN28">
        <v>14</v>
      </c>
      <c r="AO28">
        <v>5</v>
      </c>
      <c r="AP28">
        <v>5</v>
      </c>
    </row>
    <row r="29" spans="1:42" ht="13" customHeight="1" thickBot="1" x14ac:dyDescent="0.4">
      <c r="A29" s="3" t="s">
        <v>99</v>
      </c>
      <c r="B29" s="3" t="s">
        <v>100</v>
      </c>
      <c r="C29" s="4" t="s">
        <v>16</v>
      </c>
      <c r="D29" s="4" t="s">
        <v>21</v>
      </c>
      <c r="E29" s="9" t="s">
        <v>101</v>
      </c>
      <c r="I29" s="21" t="s">
        <v>96</v>
      </c>
      <c r="J29">
        <v>25</v>
      </c>
      <c r="K29">
        <v>34</v>
      </c>
      <c r="L29">
        <v>32</v>
      </c>
      <c r="M29">
        <v>15</v>
      </c>
      <c r="N29">
        <v>15</v>
      </c>
      <c r="O29">
        <v>40</v>
      </c>
      <c r="P29">
        <v>37</v>
      </c>
      <c r="Q29">
        <v>32</v>
      </c>
      <c r="R29">
        <v>26</v>
      </c>
      <c r="S29">
        <v>16</v>
      </c>
      <c r="T29">
        <v>23</v>
      </c>
      <c r="U29">
        <v>15</v>
      </c>
      <c r="V29">
        <v>19</v>
      </c>
      <c r="W29">
        <v>18</v>
      </c>
      <c r="X29">
        <v>31</v>
      </c>
      <c r="Y29">
        <v>48</v>
      </c>
      <c r="Z29">
        <v>21</v>
      </c>
      <c r="AA29">
        <v>10</v>
      </c>
      <c r="AB29">
        <v>15</v>
      </c>
      <c r="AC29">
        <v>21</v>
      </c>
      <c r="AD29">
        <v>25</v>
      </c>
      <c r="AE29">
        <v>23</v>
      </c>
      <c r="AF29">
        <v>16</v>
      </c>
      <c r="AG29">
        <v>21</v>
      </c>
      <c r="AH29">
        <v>17</v>
      </c>
      <c r="AI29">
        <v>20</v>
      </c>
      <c r="AJ29">
        <v>0</v>
      </c>
      <c r="AK29">
        <v>7</v>
      </c>
      <c r="AL29">
        <v>8</v>
      </c>
      <c r="AM29">
        <v>28</v>
      </c>
      <c r="AN29">
        <v>8</v>
      </c>
      <c r="AO29">
        <v>15</v>
      </c>
      <c r="AP29">
        <v>18</v>
      </c>
    </row>
    <row r="30" spans="1:42" ht="13" customHeight="1" thickBot="1" x14ac:dyDescent="0.4">
      <c r="A30" s="3" t="s">
        <v>102</v>
      </c>
      <c r="B30" s="3" t="s">
        <v>103</v>
      </c>
      <c r="C30" s="4" t="s">
        <v>26</v>
      </c>
      <c r="D30" s="4" t="s">
        <v>21</v>
      </c>
      <c r="E30" s="9" t="s">
        <v>104</v>
      </c>
      <c r="I30" s="21" t="s">
        <v>99</v>
      </c>
      <c r="J30">
        <v>23</v>
      </c>
      <c r="K30">
        <v>30</v>
      </c>
      <c r="L30">
        <v>28</v>
      </c>
      <c r="M30">
        <v>21</v>
      </c>
      <c r="N30">
        <v>21</v>
      </c>
      <c r="O30">
        <v>40</v>
      </c>
      <c r="P30">
        <v>37</v>
      </c>
      <c r="Q30">
        <v>34</v>
      </c>
      <c r="R30">
        <v>28</v>
      </c>
      <c r="S30">
        <v>14</v>
      </c>
      <c r="T30">
        <v>19</v>
      </c>
      <c r="U30">
        <v>12</v>
      </c>
      <c r="V30">
        <v>15</v>
      </c>
      <c r="W30">
        <v>14</v>
      </c>
      <c r="X30">
        <v>27</v>
      </c>
      <c r="Y30">
        <v>44</v>
      </c>
      <c r="Z30">
        <v>20</v>
      </c>
      <c r="AA30">
        <v>6</v>
      </c>
      <c r="AB30">
        <v>10</v>
      </c>
      <c r="AC30">
        <v>18</v>
      </c>
      <c r="AD30">
        <v>21</v>
      </c>
      <c r="AE30">
        <v>27</v>
      </c>
      <c r="AF30">
        <v>21</v>
      </c>
      <c r="AG30">
        <v>26</v>
      </c>
      <c r="AH30">
        <v>15</v>
      </c>
      <c r="AI30">
        <v>20</v>
      </c>
      <c r="AJ30">
        <v>7</v>
      </c>
      <c r="AK30">
        <v>0</v>
      </c>
      <c r="AL30">
        <v>2</v>
      </c>
      <c r="AM30">
        <v>27</v>
      </c>
      <c r="AN30">
        <v>13</v>
      </c>
      <c r="AO30">
        <v>18</v>
      </c>
      <c r="AP30">
        <v>24</v>
      </c>
    </row>
    <row r="31" spans="1:42" ht="13" customHeight="1" thickBot="1" x14ac:dyDescent="0.4">
      <c r="A31" s="3" t="s">
        <v>105</v>
      </c>
      <c r="B31" s="4" t="s">
        <v>106</v>
      </c>
      <c r="C31" s="4" t="s">
        <v>6</v>
      </c>
      <c r="D31" s="4" t="s">
        <v>6</v>
      </c>
      <c r="E31" s="9" t="s">
        <v>107</v>
      </c>
      <c r="I31" s="21" t="s">
        <v>102</v>
      </c>
      <c r="J31">
        <v>24</v>
      </c>
      <c r="K31">
        <v>31</v>
      </c>
      <c r="L31">
        <v>29</v>
      </c>
      <c r="M31">
        <v>21</v>
      </c>
      <c r="N31">
        <v>21</v>
      </c>
      <c r="O31">
        <v>42</v>
      </c>
      <c r="P31">
        <v>38</v>
      </c>
      <c r="Q31">
        <v>35</v>
      </c>
      <c r="R31">
        <v>29</v>
      </c>
      <c r="S31">
        <v>16</v>
      </c>
      <c r="T31">
        <v>19</v>
      </c>
      <c r="U31">
        <v>13</v>
      </c>
      <c r="V31">
        <v>16</v>
      </c>
      <c r="W31">
        <v>15</v>
      </c>
      <c r="X31">
        <v>27</v>
      </c>
      <c r="Y31">
        <v>45</v>
      </c>
      <c r="Z31">
        <v>21</v>
      </c>
      <c r="AA31">
        <v>5</v>
      </c>
      <c r="AB31">
        <v>9</v>
      </c>
      <c r="AC31">
        <v>17</v>
      </c>
      <c r="AD31">
        <v>20</v>
      </c>
      <c r="AE31">
        <v>27</v>
      </c>
      <c r="AF31">
        <v>20</v>
      </c>
      <c r="AG31">
        <v>26</v>
      </c>
      <c r="AH31">
        <v>16</v>
      </c>
      <c r="AI31">
        <v>21</v>
      </c>
      <c r="AJ31">
        <v>7</v>
      </c>
      <c r="AK31">
        <v>1</v>
      </c>
      <c r="AL31">
        <v>0</v>
      </c>
      <c r="AM31">
        <v>28</v>
      </c>
      <c r="AN31">
        <v>13</v>
      </c>
      <c r="AO31">
        <v>19</v>
      </c>
      <c r="AP31">
        <v>23</v>
      </c>
    </row>
    <row r="32" spans="1:42" ht="13" customHeight="1" thickBot="1" x14ac:dyDescent="0.4">
      <c r="A32" s="3" t="s">
        <v>108</v>
      </c>
      <c r="B32" s="4" t="s">
        <v>109</v>
      </c>
      <c r="C32" s="4" t="s">
        <v>6</v>
      </c>
      <c r="D32" s="4" t="s">
        <v>6</v>
      </c>
      <c r="E32" s="9" t="s">
        <v>110</v>
      </c>
      <c r="I32" s="21" t="s">
        <v>105</v>
      </c>
      <c r="J32">
        <v>5</v>
      </c>
      <c r="K32">
        <v>24</v>
      </c>
      <c r="L32">
        <v>30</v>
      </c>
      <c r="M32">
        <v>24</v>
      </c>
      <c r="N32">
        <v>24</v>
      </c>
      <c r="O32">
        <v>23</v>
      </c>
      <c r="P32">
        <v>19</v>
      </c>
      <c r="Q32">
        <v>24</v>
      </c>
      <c r="R32">
        <v>22</v>
      </c>
      <c r="S32">
        <v>14</v>
      </c>
      <c r="T32">
        <v>28</v>
      </c>
      <c r="U32">
        <v>22</v>
      </c>
      <c r="V32">
        <v>17</v>
      </c>
      <c r="W32">
        <v>22</v>
      </c>
      <c r="X32">
        <v>31</v>
      </c>
      <c r="Y32">
        <v>33</v>
      </c>
      <c r="Z32">
        <v>8</v>
      </c>
      <c r="AA32">
        <v>31</v>
      </c>
      <c r="AB32">
        <v>38</v>
      </c>
      <c r="AC32">
        <v>43</v>
      </c>
      <c r="AD32">
        <v>43</v>
      </c>
      <c r="AE32">
        <v>35</v>
      </c>
      <c r="AF32">
        <v>36</v>
      </c>
      <c r="AG32">
        <v>32</v>
      </c>
      <c r="AH32">
        <v>15</v>
      </c>
      <c r="AI32">
        <v>19</v>
      </c>
      <c r="AJ32">
        <v>28</v>
      </c>
      <c r="AK32">
        <v>26</v>
      </c>
      <c r="AL32">
        <v>28</v>
      </c>
      <c r="AM32">
        <v>0</v>
      </c>
      <c r="AN32">
        <v>28</v>
      </c>
      <c r="AO32">
        <v>20</v>
      </c>
      <c r="AP32">
        <v>20</v>
      </c>
    </row>
    <row r="33" spans="1:42" ht="13" customHeight="1" thickBot="1" x14ac:dyDescent="0.4">
      <c r="A33" s="3" t="s">
        <v>111</v>
      </c>
      <c r="B33" s="4" t="s">
        <v>112</v>
      </c>
      <c r="C33" s="4" t="s">
        <v>26</v>
      </c>
      <c r="D33" s="4" t="s">
        <v>17</v>
      </c>
      <c r="E33" s="9" t="s">
        <v>113</v>
      </c>
      <c r="I33" s="21" t="s">
        <v>108</v>
      </c>
      <c r="J33">
        <v>25</v>
      </c>
      <c r="K33">
        <v>37</v>
      </c>
      <c r="L33">
        <v>39</v>
      </c>
      <c r="M33">
        <v>8</v>
      </c>
      <c r="N33">
        <v>8</v>
      </c>
      <c r="O33">
        <v>35</v>
      </c>
      <c r="P33">
        <v>32</v>
      </c>
      <c r="Q33">
        <v>26</v>
      </c>
      <c r="R33">
        <v>20</v>
      </c>
      <c r="S33">
        <v>19</v>
      </c>
      <c r="T33">
        <v>30</v>
      </c>
      <c r="U33">
        <v>22</v>
      </c>
      <c r="V33">
        <v>26</v>
      </c>
      <c r="W33">
        <v>25</v>
      </c>
      <c r="X33">
        <v>38</v>
      </c>
      <c r="Y33">
        <v>51</v>
      </c>
      <c r="Z33">
        <v>22</v>
      </c>
      <c r="AA33">
        <v>17</v>
      </c>
      <c r="AB33">
        <v>21</v>
      </c>
      <c r="AC33">
        <v>28</v>
      </c>
      <c r="AD33">
        <v>32</v>
      </c>
      <c r="AE33">
        <v>18</v>
      </c>
      <c r="AF33">
        <v>12</v>
      </c>
      <c r="AG33">
        <v>13</v>
      </c>
      <c r="AH33">
        <v>15</v>
      </c>
      <c r="AI33">
        <v>14</v>
      </c>
      <c r="AJ33">
        <v>10</v>
      </c>
      <c r="AK33">
        <v>14</v>
      </c>
      <c r="AL33">
        <v>15</v>
      </c>
      <c r="AM33">
        <v>29</v>
      </c>
      <c r="AN33">
        <v>0</v>
      </c>
      <c r="AO33">
        <v>12</v>
      </c>
      <c r="AP33">
        <v>10</v>
      </c>
    </row>
    <row r="34" spans="1:42" ht="13" customHeight="1" thickBot="1" x14ac:dyDescent="0.4">
      <c r="A34" s="3" t="s">
        <v>9</v>
      </c>
      <c r="B34" s="4" t="s">
        <v>114</v>
      </c>
      <c r="C34" s="4" t="s">
        <v>6</v>
      </c>
      <c r="D34" s="4" t="s">
        <v>6</v>
      </c>
      <c r="E34" s="9" t="s">
        <v>115</v>
      </c>
      <c r="I34" s="21" t="s">
        <v>111</v>
      </c>
      <c r="J34">
        <v>19</v>
      </c>
      <c r="K34">
        <v>30</v>
      </c>
      <c r="L34">
        <v>36</v>
      </c>
      <c r="M34">
        <v>7</v>
      </c>
      <c r="N34">
        <v>8</v>
      </c>
      <c r="O34">
        <v>26</v>
      </c>
      <c r="P34">
        <v>23</v>
      </c>
      <c r="Q34">
        <v>18</v>
      </c>
      <c r="R34">
        <v>12</v>
      </c>
      <c r="S34">
        <v>12</v>
      </c>
      <c r="T34">
        <v>27</v>
      </c>
      <c r="U34">
        <v>17</v>
      </c>
      <c r="V34">
        <v>22</v>
      </c>
      <c r="W34">
        <v>20</v>
      </c>
      <c r="X34">
        <v>34</v>
      </c>
      <c r="Y34">
        <v>44</v>
      </c>
      <c r="Z34">
        <v>15</v>
      </c>
      <c r="AA34">
        <v>21</v>
      </c>
      <c r="AB34">
        <v>25</v>
      </c>
      <c r="AC34">
        <v>33</v>
      </c>
      <c r="AD34">
        <v>33</v>
      </c>
      <c r="AE34">
        <v>21</v>
      </c>
      <c r="AF34">
        <v>20</v>
      </c>
      <c r="AG34">
        <v>17</v>
      </c>
      <c r="AH34">
        <v>8</v>
      </c>
      <c r="AI34">
        <v>5</v>
      </c>
      <c r="AJ34">
        <v>14</v>
      </c>
      <c r="AK34">
        <v>16</v>
      </c>
      <c r="AL34">
        <v>18</v>
      </c>
      <c r="AM34">
        <v>20</v>
      </c>
      <c r="AN34">
        <v>11</v>
      </c>
      <c r="AO34">
        <v>0</v>
      </c>
      <c r="AP34">
        <v>7</v>
      </c>
    </row>
    <row r="35" spans="1:42" ht="13" customHeight="1" x14ac:dyDescent="0.35">
      <c r="I35" s="21" t="s">
        <v>9</v>
      </c>
      <c r="J35">
        <v>22</v>
      </c>
      <c r="K35">
        <v>33</v>
      </c>
      <c r="L35">
        <v>38</v>
      </c>
      <c r="M35">
        <v>3</v>
      </c>
      <c r="N35">
        <v>4</v>
      </c>
      <c r="O35">
        <v>25</v>
      </c>
      <c r="P35">
        <v>22</v>
      </c>
      <c r="Q35">
        <v>16</v>
      </c>
      <c r="R35">
        <v>10</v>
      </c>
      <c r="S35">
        <v>15</v>
      </c>
      <c r="T35">
        <v>30</v>
      </c>
      <c r="U35">
        <v>20</v>
      </c>
      <c r="V35">
        <v>24</v>
      </c>
      <c r="W35">
        <v>23</v>
      </c>
      <c r="X35">
        <v>37</v>
      </c>
      <c r="Y35">
        <v>47</v>
      </c>
      <c r="Z35">
        <v>18</v>
      </c>
      <c r="AA35">
        <v>25</v>
      </c>
      <c r="AB35">
        <v>29</v>
      </c>
      <c r="AC35">
        <v>36</v>
      </c>
      <c r="AD35">
        <v>36</v>
      </c>
      <c r="AE35">
        <v>16</v>
      </c>
      <c r="AF35">
        <v>16</v>
      </c>
      <c r="AG35">
        <v>11</v>
      </c>
      <c r="AH35">
        <v>11</v>
      </c>
      <c r="AI35">
        <v>4</v>
      </c>
      <c r="AJ35">
        <v>19</v>
      </c>
      <c r="AK35">
        <v>21</v>
      </c>
      <c r="AL35">
        <v>22</v>
      </c>
      <c r="AM35">
        <v>19</v>
      </c>
      <c r="AN35">
        <v>12</v>
      </c>
      <c r="AO35">
        <v>7</v>
      </c>
      <c r="AP35">
        <v>0</v>
      </c>
    </row>
  </sheetData>
  <mergeCells count="1">
    <mergeCell ref="I1:A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2022-01-03T11:05:13Z</dcterms:created>
  <dcterms:modified xsi:type="dcterms:W3CDTF">2022-01-03T12:09:59Z</dcterms:modified>
</cp:coreProperties>
</file>